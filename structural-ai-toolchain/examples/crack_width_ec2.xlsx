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ck Wid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Crack Width Verification - RC Slab (EN 1992-1-1 7.3.4)</t>
        </is>
      </c>
    </row>
    <row r="2">
      <c r="A2" t="inlineStr">
        <is>
          <t>Characteristic crack width for a reinforced concrete slab under quasi-permanent loading.</t>
        </is>
      </c>
    </row>
    <row r="4">
      <c r="A4" t="inlineStr">
        <is>
          <t>INPUTS</t>
        </is>
      </c>
    </row>
    <row r="5">
      <c r="A5" t="inlineStr">
        <is>
          <t>Name</t>
        </is>
      </c>
      <c r="B5" t="inlineStr">
        <is>
          <t>Value</t>
        </is>
      </c>
      <c r="C5" t="inlineStr">
        <is>
          <t>Unit</t>
        </is>
      </c>
      <c r="D5" t="inlineStr">
        <is>
          <t>Description</t>
        </is>
      </c>
    </row>
    <row r="6">
      <c r="A6" t="inlineStr">
        <is>
          <t>b</t>
        </is>
      </c>
      <c r="B6" t="n">
        <v>1000</v>
      </c>
      <c r="C6" t="inlineStr">
        <is>
          <t>mm</t>
        </is>
      </c>
      <c r="D6" t="inlineStr">
        <is>
          <t>Section width (per metre strip)</t>
        </is>
      </c>
    </row>
    <row r="7">
      <c r="A7" t="inlineStr">
        <is>
          <t>h</t>
        </is>
      </c>
      <c r="B7" t="n">
        <v>300</v>
      </c>
      <c r="C7" t="inlineStr">
        <is>
          <t>mm</t>
        </is>
      </c>
      <c r="D7" t="inlineStr">
        <is>
          <t>Section depth</t>
        </is>
      </c>
    </row>
    <row r="8">
      <c r="A8" t="inlineStr">
        <is>
          <t>d</t>
        </is>
      </c>
      <c r="B8" t="n">
        <v>260</v>
      </c>
      <c r="C8" t="inlineStr">
        <is>
          <t>mm</t>
        </is>
      </c>
      <c r="D8" t="inlineStr">
        <is>
          <t>Effective depth</t>
        </is>
      </c>
    </row>
    <row r="9">
      <c r="A9" t="inlineStr">
        <is>
          <t>c_nom</t>
        </is>
      </c>
      <c r="B9" t="n">
        <v>30</v>
      </c>
      <c r="C9" t="inlineStr">
        <is>
          <t>mm</t>
        </is>
      </c>
      <c r="D9" t="inlineStr">
        <is>
          <t>Nominal concrete cover</t>
        </is>
      </c>
    </row>
    <row r="10">
      <c r="A10" t="inlineStr">
        <is>
          <t>phi</t>
        </is>
      </c>
      <c r="B10" t="n">
        <v>16</v>
      </c>
      <c r="C10" t="inlineStr">
        <is>
          <t>mm</t>
        </is>
      </c>
      <c r="D10" t="inlineStr">
        <is>
          <t>Bar diameter</t>
        </is>
      </c>
    </row>
    <row r="11">
      <c r="A11" t="inlineStr">
        <is>
          <t>A_s</t>
        </is>
      </c>
      <c r="B11" t="n">
        <v>1005</v>
      </c>
      <c r="C11" t="inlineStr">
        <is>
          <t>mm^2</t>
        </is>
      </c>
      <c r="D11" t="inlineStr">
        <is>
          <t>Tension reinforcement area (5 H16)</t>
        </is>
      </c>
    </row>
    <row r="12">
      <c r="A12" t="inlineStr">
        <is>
          <t>M_qp</t>
        </is>
      </c>
      <c r="B12" t="n">
        <v>45</v>
      </c>
      <c r="C12" t="inlineStr">
        <is>
          <t>kNm</t>
        </is>
      </c>
      <c r="D12" t="inlineStr">
        <is>
          <t>Quasi-permanent bending moment</t>
        </is>
      </c>
    </row>
    <row r="13">
      <c r="A13" t="inlineStr">
        <is>
          <t>E_s</t>
        </is>
      </c>
      <c r="B13" t="n">
        <v>200000</v>
      </c>
      <c r="C13" t="inlineStr">
        <is>
          <t>MPa</t>
        </is>
      </c>
      <c r="D13" t="inlineStr">
        <is>
          <t>Steel modulus of elasticity</t>
        </is>
      </c>
    </row>
    <row r="14">
      <c r="A14" t="inlineStr">
        <is>
          <t>E_cm</t>
        </is>
      </c>
      <c r="B14" t="n">
        <v>33000</v>
      </c>
      <c r="C14" t="inlineStr">
        <is>
          <t>MPa</t>
        </is>
      </c>
      <c r="D14" t="inlineStr">
        <is>
          <t>Concrete secant modulus</t>
        </is>
      </c>
    </row>
    <row r="15">
      <c r="A15" t="inlineStr">
        <is>
          <t>f_ct_eff</t>
        </is>
      </c>
      <c r="B15" t="n">
        <v>2.9</v>
      </c>
      <c r="C15" t="inlineStr">
        <is>
          <t>MPa</t>
        </is>
      </c>
      <c r="D15" t="inlineStr">
        <is>
          <t>Effective concrete tensile strength</t>
        </is>
      </c>
    </row>
    <row r="16">
      <c r="A16" t="inlineStr">
        <is>
          <t>k_t</t>
        </is>
      </c>
      <c r="B16" t="n">
        <v>0.4</v>
      </c>
      <c r="C16" t="inlineStr">
        <is>
          <t>-</t>
        </is>
      </c>
      <c r="D16" t="inlineStr">
        <is>
          <t>Load duration factor (long term)</t>
        </is>
      </c>
    </row>
    <row r="17">
      <c r="A17" t="inlineStr">
        <is>
          <t>k_1</t>
        </is>
      </c>
      <c r="B17" t="n">
        <v>0.8</v>
      </c>
      <c r="C17" t="inlineStr">
        <is>
          <t>-</t>
        </is>
      </c>
      <c r="D17" t="inlineStr">
        <is>
          <t>Bond factor (high-bond bars)</t>
        </is>
      </c>
    </row>
    <row r="18">
      <c r="A18" t="inlineStr">
        <is>
          <t>k_2</t>
        </is>
      </c>
      <c r="B18" t="n">
        <v>0.5</v>
      </c>
      <c r="C18" t="inlineStr">
        <is>
          <t>-</t>
        </is>
      </c>
      <c r="D18" t="inlineStr">
        <is>
          <t>Strain distribution factor (bending)</t>
        </is>
      </c>
    </row>
    <row r="19">
      <c r="A19" t="inlineStr">
        <is>
          <t>k_3</t>
        </is>
      </c>
      <c r="B19" t="n">
        <v>3.4</v>
      </c>
      <c r="C19" t="inlineStr">
        <is>
          <t>-</t>
        </is>
      </c>
      <c r="D19" t="inlineStr">
        <is>
          <t>Code coefficient</t>
        </is>
      </c>
    </row>
    <row r="20">
      <c r="A20" t="inlineStr">
        <is>
          <t>k_4</t>
        </is>
      </c>
      <c r="B20" t="n">
        <v>0.425</v>
      </c>
      <c r="C20" t="inlineStr">
        <is>
          <t>-</t>
        </is>
      </c>
      <c r="D20" t="inlineStr">
        <is>
          <t>Code coefficient</t>
        </is>
      </c>
    </row>
    <row r="21">
      <c r="A21" t="inlineStr">
        <is>
          <t>w_max</t>
        </is>
      </c>
      <c r="B21" t="n">
        <v>0.3</v>
      </c>
      <c r="C21" t="inlineStr">
        <is>
          <t>mm</t>
        </is>
      </c>
      <c r="D21" t="inlineStr">
        <is>
          <t>Allowable crack width (XC exposure)</t>
        </is>
      </c>
    </row>
    <row r="23">
      <c r="A23" t="inlineStr">
        <is>
          <t>CALCULATIONS</t>
        </is>
      </c>
    </row>
    <row r="24">
      <c r="A24" t="inlineStr">
        <is>
          <t>Name</t>
        </is>
      </c>
      <c r="B24" t="inlineStr">
        <is>
          <t>Value</t>
        </is>
      </c>
      <c r="C24" t="inlineStr">
        <is>
          <t>Unit</t>
        </is>
      </c>
      <c r="D24" t="inlineStr">
        <is>
          <t>Description</t>
        </is>
      </c>
    </row>
    <row r="25">
      <c r="A25" t="inlineStr">
        <is>
          <t>alpha_e</t>
        </is>
      </c>
      <c r="B25">
        <f>B13/B14</f>
        <v/>
      </c>
      <c r="C25" t="inlineStr">
        <is>
          <t>-</t>
        </is>
      </c>
      <c r="D25" t="inlineStr">
        <is>
          <t>Modular ratio E_s/E_cm</t>
        </is>
      </c>
    </row>
    <row r="26">
      <c r="A26" t="inlineStr">
        <is>
          <t>x</t>
        </is>
      </c>
      <c r="B26">
        <f>(B25*B11/B6)*(SQRT(1+2*B6*B8/(B25*B11))-1)</f>
        <v/>
      </c>
      <c r="C26" t="inlineStr">
        <is>
          <t>mm</t>
        </is>
      </c>
      <c r="D26" t="inlineStr">
        <is>
          <t>Neutral axis depth (cracked section)</t>
        </is>
      </c>
    </row>
    <row r="27">
      <c r="A27" t="inlineStr">
        <is>
          <t>z</t>
        </is>
      </c>
      <c r="B27">
        <f>B8-B26/3</f>
        <v/>
      </c>
      <c r="C27" t="inlineStr">
        <is>
          <t>mm</t>
        </is>
      </c>
      <c r="D27" t="inlineStr">
        <is>
          <t>Internal lever arm</t>
        </is>
      </c>
    </row>
    <row r="28">
      <c r="A28" t="inlineStr">
        <is>
          <t>sigma_s</t>
        </is>
      </c>
      <c r="B28">
        <f>B12*1000000/(B27*B11)</f>
        <v/>
      </c>
      <c r="C28" t="inlineStr">
        <is>
          <t>MPa</t>
        </is>
      </c>
      <c r="D28" t="inlineStr">
        <is>
          <t>Steel stress under quasi-permanent loads</t>
        </is>
      </c>
    </row>
    <row r="29">
      <c r="A29" t="inlineStr">
        <is>
          <t>h_c_eff</t>
        </is>
      </c>
      <c r="B29">
        <f>MIN(2.5*(B7-B8),(B7-B26)/3,B7/2)</f>
        <v/>
      </c>
      <c r="C29" t="inlineStr">
        <is>
          <t>mm</t>
        </is>
      </c>
      <c r="D29" t="inlineStr">
        <is>
          <t>Effective tension zone height</t>
        </is>
      </c>
    </row>
    <row r="30">
      <c r="A30" t="inlineStr">
        <is>
          <t>rho_p_eff</t>
        </is>
      </c>
      <c r="B30">
        <f>B11/(B6*B29)</f>
        <v/>
      </c>
      <c r="C30" t="inlineStr">
        <is>
          <t>-</t>
        </is>
      </c>
      <c r="D30" t="inlineStr">
        <is>
          <t>Effective reinforcement ratio</t>
        </is>
      </c>
    </row>
    <row r="31">
      <c r="A31" t="inlineStr">
        <is>
          <t>s_r_max</t>
        </is>
      </c>
      <c r="B31">
        <f>B19*B9+B17*B18*B20*B10/B30</f>
        <v/>
      </c>
      <c r="C31" t="inlineStr">
        <is>
          <t>mm</t>
        </is>
      </c>
      <c r="D31" t="inlineStr">
        <is>
          <t>Maximum crack spacing</t>
        </is>
      </c>
    </row>
    <row r="32">
      <c r="A32" t="inlineStr">
        <is>
          <t>eps_diff</t>
        </is>
      </c>
      <c r="B32">
        <f>MAX((B28-B16*B15/B30*(1+B25*B30))/B13,0.6*B28/B13)</f>
        <v/>
      </c>
      <c r="C32" t="inlineStr">
        <is>
          <t>-</t>
        </is>
      </c>
      <c r="D32" t="inlineStr">
        <is>
          <t>Mean strain difference (eps_sm - eps_cm)</t>
        </is>
      </c>
    </row>
    <row r="33">
      <c r="A33" t="inlineStr">
        <is>
          <t>w_k</t>
        </is>
      </c>
      <c r="B33">
        <f>B31*B32</f>
        <v/>
      </c>
      <c r="C33" t="inlineStr">
        <is>
          <t>mm</t>
        </is>
      </c>
      <c r="D33" t="inlineStr">
        <is>
          <t>Characteristic crack width</t>
        </is>
      </c>
    </row>
    <row r="35">
      <c r="A35" t="inlineStr">
        <is>
          <t>CHECKS</t>
        </is>
      </c>
    </row>
    <row r="36">
      <c r="A36" t="inlineStr">
        <is>
          <t>Expression</t>
        </is>
      </c>
      <c r="B36" t="inlineStr">
        <is>
          <t>Description</t>
        </is>
      </c>
    </row>
    <row r="37">
      <c r="A37" t="inlineStr">
        <is>
          <t>w_k &lt;= w_max</t>
        </is>
      </c>
      <c r="B37" t="inlineStr">
        <is>
          <t>Crack width within allowable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2026-10-13T07:56:27Z</dcterms:created>
  <dcterms:modified xsi:type="dcterms:W3CDTF">2026-10-13T07:56:27Z</dcterms:modified>
</cp:coreProperties>
</file>