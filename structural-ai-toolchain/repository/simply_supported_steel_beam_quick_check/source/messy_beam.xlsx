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" sheetId="1" state="visible" r:id="rId1"/>
    <sheet name="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Simply Supported Steel Beam — quick check</t>
        </is>
      </c>
      <c r="H1" t="n">
        <v>1</v>
      </c>
    </row>
    <row r="3">
      <c r="B3" t="inlineStr">
        <is>
          <t>Span L (m)</t>
        </is>
      </c>
      <c r="C3" t="n">
        <v>6</v>
      </c>
      <c r="E3" t="inlineStr">
        <is>
          <t>Section modulus Wel (cm3)</t>
        </is>
      </c>
      <c r="F3" t="n">
        <v>324</v>
      </c>
    </row>
    <row r="4">
      <c r="B4" t="inlineStr">
        <is>
          <t>Line load w (kN/m)</t>
        </is>
      </c>
      <c r="C4" t="n">
        <v>12</v>
      </c>
      <c r="E4" t="inlineStr">
        <is>
          <t>Yield fy (MPa)</t>
        </is>
      </c>
      <c r="F4" t="n">
        <v>355</v>
      </c>
    </row>
    <row r="6">
      <c r="B6" t="inlineStr">
        <is>
          <t>Moment M (kNm)</t>
        </is>
      </c>
      <c r="C6">
        <f>C4*C3^2/8</f>
        <v/>
      </c>
    </row>
    <row r="7">
      <c r="B7" t="inlineStr">
        <is>
          <t>Bending stress sigma (MPa)</t>
        </is>
      </c>
      <c r="C7">
        <f>C6*1000/F3*Factors!B2</f>
        <v/>
      </c>
    </row>
    <row r="9">
      <c r="B9" t="inlineStr">
        <is>
          <t>Utilisation check</t>
        </is>
      </c>
      <c r="C9">
        <f>IF(C7&lt;=F4,1,0)</f>
        <v/>
      </c>
    </row>
    <row r="10">
      <c r="B10" t="inlineStr">
        <is>
          <t>Capacity check</t>
        </is>
      </c>
      <c r="C10">
        <f>C7&lt;=F4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Amplification</t>
        </is>
      </c>
    </row>
    <row r="2"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2026-07-19T07:05:47Z</dcterms:created>
  <dcterms:modified xsi:type="dcterms:W3CDTF">2026-07-19T07:05:47Z</dcterms:modified>
</cp:coreProperties>
</file>